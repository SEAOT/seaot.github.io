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am info" sheetId="2" state="visible" r:id="rId2"/>
    <sheet xmlns:r="http://schemas.openxmlformats.org/officeDocument/2006/relationships" name="People" sheetId="3" state="visible" r:id="rId3"/>
    <sheet xmlns:r="http://schemas.openxmlformats.org/officeDocument/2006/relationships" name="Publications" sheetId="4" state="visible" r:id="rId4"/>
    <sheet xmlns:r="http://schemas.openxmlformats.org/officeDocument/2006/relationships" name="Projects" sheetId="5" state="visible" r:id="rId5"/>
    <sheet xmlns:r="http://schemas.openxmlformats.org/officeDocument/2006/relationships" name="SEAL Lab capabilities" sheetId="6" state="visible" r:id="rId6"/>
    <sheet xmlns:r="http://schemas.openxmlformats.org/officeDocument/2006/relationships" name="News" sheetId="7" state="visible" r:id="rId7"/>
    <sheet xmlns:r="http://schemas.openxmlformats.org/officeDocument/2006/relationships" name="Lists" sheetId="8" state="visible" r:id="rId8"/>
  </sheets>
  <definedNames>
    <definedName name="_xlnm._FilterDatabase" localSheetId="2" hidden="1">'People'!$A$1:$AA$43</definedName>
    <definedName name="_xlnm._FilterDatabase" localSheetId="3" hidden="1">'Publications'!$A$1:$O$83</definedName>
    <definedName name="_xlnm._FilterDatabase" localSheetId="4" hidden="1">'Projects'!$A$1:$Q$43</definedName>
    <definedName name="_xlnm._FilterDatabase" localSheetId="5" hidden="1">'SEAL Lab capabilities'!$A$1:$E$33</definedName>
    <definedName name="_xlnm._FilterDatabase" localSheetId="6" hidden="1">'News'!$A$1:$G$43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  <font>
      <name val="Arial"/>
      <b val="1"/>
      <color rgb="00FFFFFF"/>
      <sz val="10"/>
    </font>
    <font>
      <name val="Arial"/>
      <color rgb="00D9DEE2"/>
      <sz val="10"/>
    </font>
    <font>
      <name val="Arial"/>
      <i val="1"/>
      <color rgb="006E767D"/>
      <sz val="9"/>
    </font>
    <font>
      <name val="Arial"/>
      <b val="1"/>
      <sz val="10"/>
    </font>
    <font>
      <name val="Arial"/>
      <b val="1"/>
      <sz val="16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11315"/>
      </patternFill>
    </fill>
    <fill>
      <patternFill patternType="solid">
        <fgColor rgb="00EEF2F4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ont>
        <name val="Arial"/>
        <sz val="10"/>
      </font>
      <fill>
        <patternFill patternType="solid">
          <f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315"/>
    <outlinePr summaryBelow="1" summaryRight="1"/>
    <pageSetUpPr/>
  </sheetPr>
  <dimension ref="B1:B24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SEA OtTeRS &amp; SEAL Lab — website content intake</t>
        </is>
      </c>
    </row>
    <row r="2">
      <c r="B2" s="2" t="inlineStr">
        <is>
          <t>Fill in this workbook and the website will be generated directly from it. One row per person, paper, project or news item.</t>
        </is>
      </c>
    </row>
    <row r="3">
      <c r="B3" s="2" t="inlineStr"/>
    </row>
    <row r="4">
      <c r="B4" s="3" t="inlineStr">
        <is>
          <t>HOW TO USE</t>
        </is>
      </c>
    </row>
    <row r="5">
      <c r="B5" s="2" t="inlineStr">
        <is>
          <t>1.  People — add your own row (everyone!). Gray row 3 is the PI's example; yellow cells are yours to fill.</t>
        </is>
      </c>
    </row>
    <row r="6">
      <c r="B6" s="2" t="inlineStr">
        <is>
          <t>2.  Publications — add every paper you want listed. Check 'Selected' for the 3–6 that should appear on the main page.</t>
        </is>
      </c>
    </row>
    <row r="7">
      <c r="B7" s="2" t="inlineStr">
        <is>
          <t>3.  Projects — one row per research project, instrument or facility. Use the Short name to link papers and people to it.</t>
        </is>
      </c>
    </row>
    <row r="8">
      <c r="B8" s="2" t="inlineStr">
        <is>
          <t>4.  SEAL Lab capabilities — numbers for the specification table (roughness, form accuracy, sizes, materials, clean-room class).</t>
        </is>
      </c>
    </row>
    <row r="9">
      <c r="B9" s="2" t="inlineStr">
        <is>
          <t>5.  News — anything worth a line on the News section (runs, papers, awards, new members).</t>
        </is>
      </c>
    </row>
    <row r="10">
      <c r="B10" s="2" t="inlineStr">
        <is>
          <t>6.  Team info — institute name, address, group emails and links. The PI fills this one.</t>
        </is>
      </c>
    </row>
    <row r="11">
      <c r="B11" s="2" t="inlineStr"/>
    </row>
    <row r="12">
      <c r="B12" s="3" t="inlineStr">
        <is>
          <t>CONVENTIONS</t>
        </is>
      </c>
    </row>
    <row r="13">
      <c r="B13" s="2" t="inlineStr">
        <is>
          <t>•  Columns marked * are required. Row 2 on each sheet explains every column; hover a header for the same tip.</t>
        </is>
      </c>
    </row>
    <row r="14">
      <c r="B14" s="2" t="inlineStr">
        <is>
          <t>•  Lists → use the dropdowns (Group, Category, Status, Type, Yes/No). Do not type new values into those columns.</t>
        </is>
      </c>
    </row>
    <row r="15">
      <c r="B15" s="2" t="inlineStr">
        <is>
          <t>•  Several items in one cell (interests, authors, team members) → separate with semicolons ';'.</t>
        </is>
      </c>
    </row>
    <row r="16">
      <c r="B16" s="2" t="inlineStr">
        <is>
          <t>•  Files (photo, CV, resume, images) → upload to the shared Drive folder and paste the link. Set sharing to 'Anyone with the link – Viewer'.</t>
        </is>
      </c>
    </row>
    <row r="17">
      <c r="B17" s="2" t="inlineStr">
        <is>
          <t>•  Names must match exactly across sheets (People ↔ Publications 'Team authors' ↔ Projects 'Team members').</t>
        </is>
      </c>
    </row>
    <row r="18">
      <c r="B18" s="2" t="inlineStr">
        <is>
          <t>•  Do not rename sheets or headers, and do not delete row 1–2 — the website generator reads them.</t>
        </is>
      </c>
    </row>
    <row r="19">
      <c r="B19" s="2" t="inlineStr">
        <is>
          <t>•  Leave a cell blank rather than writing 'N/A'. 'Show on website? = No' hides a row without deleting it.</t>
        </is>
      </c>
    </row>
    <row r="20">
      <c r="B20" s="2" t="inlineStr"/>
    </row>
    <row r="21">
      <c r="B21" s="3" t="inlineStr">
        <is>
          <t>LEGEND</t>
        </is>
      </c>
    </row>
    <row r="22">
      <c r="B22" s="4" t="inlineStr">
        <is>
          <t xml:space="preserve">   yellow = fill in     gray = example row (PI)     white/gray text in header = optional column     * = required</t>
        </is>
      </c>
    </row>
    <row r="23">
      <c r="B23" s="2" t="inlineStr"/>
    </row>
    <row r="24">
      <c r="B24" s="5" t="inlineStr">
        <is>
          <t>When everything is in, tell Bright — the site (people cards, profile pages, publication list, projects, news) is regenerated from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11315"/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  <col width="50" customWidth="1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Where it appears / notes</t>
        </is>
      </c>
    </row>
    <row r="2">
      <c r="A2" s="7" t="inlineStr">
        <is>
          <t>Institute / host organization</t>
        </is>
      </c>
      <c r="B2" s="4" t="inlineStr">
        <is>
          <t>National Astronomical Research Institute of Thailand (Public Organization)</t>
        </is>
      </c>
      <c r="C2" s="8" t="inlineStr">
        <is>
          <t>Hero line, footer, contact</t>
        </is>
      </c>
    </row>
    <row r="3">
      <c r="A3" s="7" t="inlineStr">
        <is>
          <t>Department / division</t>
        </is>
      </c>
      <c r="B3" s="4" t="inlineStr">
        <is>
          <t>Research Groups</t>
        </is>
      </c>
      <c r="C3" s="8" t="inlineStr">
        <is>
          <t>Contact</t>
        </is>
      </c>
    </row>
    <row r="4">
      <c r="A4" s="7" t="inlineStr">
        <is>
          <t>Postal address</t>
        </is>
      </c>
      <c r="B4" s="4" t="inlineStr">
        <is>
          <t>260 Moo 4, Don Kaew, Mae Rim, Chiang Mai 50180, Thailand</t>
        </is>
      </c>
      <c r="C4" s="8" t="inlineStr">
        <is>
          <t>Contact → Visiting</t>
        </is>
      </c>
    </row>
    <row r="5">
      <c r="A5" s="7" t="inlineStr">
        <is>
          <t>City, country</t>
        </is>
      </c>
      <c r="B5" s="4" t="inlineStr">
        <is>
          <t>Chiang Mai, Thailand</t>
        </is>
      </c>
      <c r="C5" s="8" t="inlineStr">
        <is>
          <t>Hero eyebrow</t>
        </is>
      </c>
    </row>
    <row r="6">
      <c r="A6" s="7" t="inlineStr">
        <is>
          <t>Team tagline (one sentence)</t>
        </is>
      </c>
      <c r="B6" s="4" t="inlineStr">
        <is>
          <t>From the observed sky to the instruments that make it work.</t>
        </is>
      </c>
      <c r="C6" s="8" t="inlineStr">
        <is>
          <t>Hero headline — edit if you prefer another</t>
        </is>
      </c>
    </row>
    <row r="7">
      <c r="A7" s="7" t="inlineStr">
        <is>
          <t>Team intro paragraph</t>
        </is>
      </c>
      <c r="B7" s="4" t="inlineStr"/>
      <c r="C7" s="8" t="inlineStr">
        <is>
          <t>Hero paragraph; leave blank to keep the current text</t>
        </is>
      </c>
    </row>
    <row r="8">
      <c r="A8" s="7" t="inlineStr">
        <is>
          <t>SEA OtTeRS – contact email</t>
        </is>
      </c>
      <c r="B8" s="4" t="inlineStr"/>
      <c r="C8" s="8" t="inlineStr">
        <is>
          <t>Contact block</t>
        </is>
      </c>
    </row>
    <row r="9">
      <c r="A9" s="7" t="inlineStr">
        <is>
          <t>SEA OtTeRS – intro paragraph</t>
        </is>
      </c>
      <c r="B9" s="4" t="inlineStr"/>
      <c r="C9" s="8" t="inlineStr">
        <is>
          <t>Leave blank to keep current text</t>
        </is>
      </c>
    </row>
    <row r="10">
      <c r="A10" s="7" t="inlineStr">
        <is>
          <t>SEAL Lab – contact email</t>
        </is>
      </c>
      <c r="B10" s="4" t="inlineStr"/>
      <c r="C10" s="8" t="inlineStr">
        <is>
          <t>Contact block</t>
        </is>
      </c>
    </row>
    <row r="11">
      <c r="A11" s="7" t="inlineStr">
        <is>
          <t>SEAL Lab – intro paragraph</t>
        </is>
      </c>
      <c r="B11" s="4" t="inlineStr"/>
      <c r="C11" s="8" t="inlineStr">
        <is>
          <t>Leave blank to keep current text</t>
        </is>
      </c>
    </row>
    <row r="12">
      <c r="A12" s="7" t="inlineStr">
        <is>
          <t>Team ADS library URL</t>
        </is>
      </c>
      <c r="B12" s="4" t="inlineStr"/>
      <c r="C12" s="8" t="inlineStr">
        <is>
          <t>Publications → 'Full list'</t>
        </is>
      </c>
    </row>
    <row r="13">
      <c r="A13" s="7" t="inlineStr">
        <is>
          <t>Team GitHub organization URL</t>
        </is>
      </c>
      <c r="B13" s="4" t="inlineStr"/>
      <c r="C13" s="8" t="inlineStr">
        <is>
          <t>Footer</t>
        </is>
      </c>
    </row>
    <row r="14">
      <c r="A14" s="7" t="inlineStr">
        <is>
          <t>Google Scholar / ORCID group link</t>
        </is>
      </c>
      <c r="B14" s="4" t="inlineStr"/>
      <c r="C14" s="8" t="inlineStr">
        <is>
          <t>Publications</t>
        </is>
      </c>
    </row>
    <row r="15">
      <c r="A15" s="7" t="inlineStr">
        <is>
          <t>Social links (X, Facebook, YouTube, ...)</t>
        </is>
      </c>
      <c r="B15" s="4" t="inlineStr"/>
      <c r="C15" s="8" t="inlineStr">
        <is>
          <t>Footer; one per line</t>
        </is>
      </c>
    </row>
    <row r="16">
      <c r="A16" s="7" t="inlineStr">
        <is>
          <t>Public website domain (once you have one)</t>
        </is>
      </c>
      <c r="B16" s="4" t="inlineStr"/>
      <c r="C16" s="8" t="inlineStr">
        <is>
          <t>e.g. https://sea-otters.narit.or.th</t>
        </is>
      </c>
    </row>
    <row r="17">
      <c r="A17" s="7" t="inlineStr">
        <is>
          <t>GitHub repository URL</t>
        </is>
      </c>
      <c r="B17" s="4" t="inlineStr"/>
      <c r="C17" s="8" t="inlineStr">
        <is>
          <t>Footer 'Site source'</t>
        </is>
      </c>
    </row>
    <row r="18">
      <c r="A18" s="7" t="inlineStr">
        <is>
          <t>Other telescopes / facilities to name</t>
        </is>
      </c>
      <c r="B18" s="4" t="inlineStr">
        <is>
          <t>2.4-m Thai National Telescope (TNT); 0.7-m Thai Robotic Telescope (TRT)</t>
        </is>
      </c>
      <c r="C18" s="8" t="inlineStr">
        <is>
          <t>Hero line, projects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9C86"/>
    <outlinePr summaryBelow="1" summaryRight="1"/>
    <pageSetUpPr/>
  </sheetPr>
  <dimension ref="A1:AA4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22" customWidth="1" min="4" max="4"/>
    <col width="30" customWidth="1" min="5" max="5"/>
    <col width="26" customWidth="1" min="6" max="6"/>
    <col width="28" customWidth="1" min="7" max="7"/>
    <col width="40" customWidth="1" min="8" max="8"/>
    <col width="60" customWidth="1" min="9" max="9"/>
    <col width="40" customWidth="1" min="10" max="10"/>
    <col width="40" customWidth="1" min="11" max="11"/>
    <col width="34" customWidth="1" min="12" max="12"/>
    <col width="34" customWidth="1" min="13" max="13"/>
    <col width="34" customWidth="1" min="14" max="14"/>
    <col width="22" customWidth="1" min="15" max="15"/>
    <col width="34" customWidth="1" min="16" max="16"/>
    <col width="34" customWidth="1" min="17" max="17"/>
    <col width="22" customWidth="1" min="18" max="18"/>
    <col width="30" customWidth="1" min="19" max="19"/>
    <col width="30" customWidth="1" min="20" max="20"/>
    <col width="10" customWidth="1" min="21" max="21"/>
    <col width="12" customWidth="1" min="22" max="22"/>
    <col width="30" customWidth="1" min="23" max="23"/>
    <col width="10" customWidth="1" min="24" max="24"/>
    <col width="12" customWidth="1" min="25" max="25"/>
    <col width="30" customWidth="1" min="26" max="26"/>
    <col width="40" customWidth="1" min="27" max="27"/>
  </cols>
  <sheetData>
    <row r="1" ht="32" customHeight="1">
      <c r="A1" s="9" t="inlineStr">
        <is>
          <t>Full name *</t>
        </is>
      </c>
      <c r="B1" s="10" t="inlineStr">
        <is>
          <t>Degree / title</t>
        </is>
      </c>
      <c r="C1" s="9" t="inlineStr">
        <is>
          <t>Group *</t>
        </is>
      </c>
      <c r="D1" s="9" t="inlineStr">
        <is>
          <t>Category *</t>
        </is>
      </c>
      <c r="E1" s="9" t="inlineStr">
        <is>
          <t>Position / role *</t>
        </is>
      </c>
      <c r="F1" s="10" t="inlineStr">
        <is>
          <t>Affiliation</t>
        </is>
      </c>
      <c r="G1" s="9" t="inlineStr">
        <is>
          <t>Email *</t>
        </is>
      </c>
      <c r="H1" s="9" t="inlineStr">
        <is>
          <t>Short bio (card) *</t>
        </is>
      </c>
      <c r="I1" s="10" t="inlineStr">
        <is>
          <t>Long bio (profile page)</t>
        </is>
      </c>
      <c r="J1" s="9" t="inlineStr">
        <is>
          <t>Research / engineering interests *</t>
        </is>
      </c>
      <c r="K1" s="10" t="inlineStr">
        <is>
          <t>Role in the team</t>
        </is>
      </c>
      <c r="L1" s="10" t="inlineStr">
        <is>
          <t>Photo link</t>
        </is>
      </c>
      <c r="M1" s="10" t="inlineStr">
        <is>
          <t>CV link (PDF)</t>
        </is>
      </c>
      <c r="N1" s="10" t="inlineStr">
        <is>
          <t>Resume link (PDF)</t>
        </is>
      </c>
      <c r="O1" s="10" t="inlineStr">
        <is>
          <t>ORCID</t>
        </is>
      </c>
      <c r="P1" s="10" t="inlineStr">
        <is>
          <t>ADS library / author link</t>
        </is>
      </c>
      <c r="Q1" s="10" t="inlineStr">
        <is>
          <t>Google Scholar</t>
        </is>
      </c>
      <c r="R1" s="10" t="inlineStr">
        <is>
          <t>GitHub</t>
        </is>
      </c>
      <c r="S1" s="10" t="inlineStr">
        <is>
          <t>Personal website</t>
        </is>
      </c>
      <c r="T1" s="10" t="inlineStr">
        <is>
          <t>LinkedIn</t>
        </is>
      </c>
      <c r="U1" s="10" t="inlineStr">
        <is>
          <t>Start year</t>
        </is>
      </c>
      <c r="V1" s="10" t="inlineStr">
        <is>
          <t>End year (alumni)</t>
        </is>
      </c>
      <c r="W1" s="10" t="inlineStr">
        <is>
          <t>Current affiliation (alumni)</t>
        </is>
      </c>
      <c r="X1" s="10" t="inlineStr">
        <is>
          <t>Order on page</t>
        </is>
      </c>
      <c r="Y1" s="9" t="inlineStr">
        <is>
          <t>Show on website? *</t>
        </is>
      </c>
      <c r="Z1" s="10" t="inlineStr">
        <is>
          <t>Page slug (auto)</t>
        </is>
      </c>
      <c r="AA1" s="10" t="inlineStr">
        <is>
          <t>Notes for the web editor</t>
        </is>
      </c>
    </row>
    <row r="2" ht="60" customHeight="1">
      <c r="A2" s="5" t="inlineStr">
        <is>
          <t>As it should appear on the site, e.g. Krittapas Chanchaiworawit</t>
        </is>
      </c>
      <c r="B2" s="5" t="inlineStr">
        <is>
          <t>PhD, MSc, Dr., etc. Shown after the name.</t>
        </is>
      </c>
      <c r="C2" s="5" t="inlineStr">
        <is>
          <t>SEA OtTeRS, SEAL Lab, or Both</t>
        </is>
      </c>
      <c r="D2" s="5" t="inlineStr">
        <is>
          <t>Decides which People sub-section you appear in</t>
        </is>
      </c>
      <c r="E2" s="5" t="inlineStr">
        <is>
          <t>One line, e.g. 'PhD student · galaxy evolution' or 'Opto-mechanical engineer'</t>
        </is>
      </c>
      <c r="F2" s="5" t="inlineStr">
        <is>
          <t>Institute / university and department</t>
        </is>
      </c>
      <c r="G2" s="5" t="inlineStr">
        <is>
          <t>Public contact email (leave blank if you do not want it shown)</t>
        </is>
      </c>
      <c r="H2" s="5" t="inlineStr">
        <is>
          <t>1–2 sentences for the People card, max ~200 characters</t>
        </is>
      </c>
      <c r="I2" s="5" t="inlineStr">
        <is>
          <t>2–4 short paragraphs for your profile page. Use blank lines between paragraphs.</t>
        </is>
      </c>
      <c r="J2" s="5" t="inlineStr">
        <is>
          <t>Separate with semicolons: AGN reverberation mapping; laser metrology; ...</t>
        </is>
      </c>
      <c r="K2" s="5" t="inlineStr">
        <is>
          <t>What you actually do here, e.g. 'runs the ULTRASPEC reduction pipeline'</t>
        </is>
      </c>
      <c r="L2" s="5" t="inlineStr">
        <is>
          <t>Link to a portrait (Google Drive, share set to 'Anyone with the link'). Square crop works best, ≥ 600 px.</t>
        </is>
      </c>
      <c r="M2" s="5" t="inlineStr">
        <is>
          <t>Google Drive link to your CV PDF</t>
        </is>
      </c>
      <c r="N2" s="5" t="inlineStr">
        <is>
          <t>Optional 1-page resume PDF</t>
        </is>
      </c>
      <c r="O2" s="5" t="inlineStr">
        <is>
          <t>0000-0000-0000-0000</t>
        </is>
      </c>
      <c r="P2" s="5" t="inlineStr">
        <is>
          <t>NASA ADS author or library URL</t>
        </is>
      </c>
      <c r="Q2" s="5" t="inlineStr">
        <is>
          <t>Profile URL</t>
        </is>
      </c>
      <c r="R2" s="5" t="inlineStr">
        <is>
          <t>Username or URL</t>
        </is>
      </c>
      <c r="S2" s="5" t="inlineStr">
        <is>
          <t>URL</t>
        </is>
      </c>
      <c r="T2" s="5" t="inlineStr">
        <is>
          <t>URL</t>
        </is>
      </c>
      <c r="U2" s="5" t="inlineStr">
        <is>
          <t>Year you joined the team</t>
        </is>
      </c>
      <c r="V2" s="5" t="inlineStr">
        <is>
          <t>Leave blank if current</t>
        </is>
      </c>
      <c r="W2" s="5" t="inlineStr">
        <is>
          <t>Where you are now, if you have left</t>
        </is>
      </c>
      <c r="X2" s="5" t="inlineStr">
        <is>
          <t>Optional number to control ordering within a sub-section (1 = first)</t>
        </is>
      </c>
      <c r="Y2" s="5" t="inlineStr">
        <is>
          <t>Yes / No</t>
        </is>
      </c>
      <c r="Z2" s="5" t="inlineStr">
        <is>
          <t>Generated automatically from the name — do not edit</t>
        </is>
      </c>
      <c r="AA2" s="5" t="inlineStr">
        <is>
          <t>Anything else — pronunciation, preferred name, things to leave out</t>
        </is>
      </c>
    </row>
    <row r="3">
      <c r="A3" s="11" t="inlineStr">
        <is>
          <t>Krittapas Chanchaiworawit</t>
        </is>
      </c>
      <c r="B3" s="11" t="inlineStr">
        <is>
          <t>PhD</t>
        </is>
      </c>
      <c r="C3" s="11" t="inlineStr">
        <is>
          <t>Both</t>
        </is>
      </c>
      <c r="D3" s="11" t="inlineStr">
        <is>
          <t>PI</t>
        </is>
      </c>
      <c r="E3" s="11" t="inlineStr">
        <is>
          <t>Principal Investigator · SEA OtTeRS and SEAL Lab · Team PI</t>
        </is>
      </c>
      <c r="F3" s="11" t="inlineStr">
        <is>
          <t>NARIT</t>
        </is>
      </c>
      <c r="G3" s="11" t="inlineStr">
        <is>
          <t>[email@institute]</t>
        </is>
      </c>
      <c r="H3" s="11" t="inlineStr">
        <is>
          <t>Leads both groups: extragalactic astronomy and observational cosmology in SEA OtTeRS, precision instrumentation in SEAL Lab.</t>
        </is>
      </c>
      <c r="I3" s="11" t="inlineStr">
        <is>
          <t>Krittapas (Bright) Chanchaiworawit leads the team's two groups ...
Second paragraph: background and degrees ...</t>
        </is>
      </c>
      <c r="J3" s="11" t="inlineStr">
        <is>
          <t>AGN reverberation mapping; galaxy evolution at high redshift; time-domain astronomy; low-resolution spectrographs (LRS, CoLoRS); single-point diamond turning; laser metrology</t>
        </is>
      </c>
      <c r="K3" s="11" t="inlineStr">
        <is>
          <t>PI · proposals, collaborations, monitoring campaigns, SPDT program</t>
        </is>
      </c>
      <c r="L3" s="11" t="inlineStr">
        <is>
          <t>https://drive.google.com/...</t>
        </is>
      </c>
      <c r="M3" s="11" t="inlineStr">
        <is>
          <t>https://drive.google.com/...</t>
        </is>
      </c>
      <c r="N3" s="11" t="inlineStr"/>
      <c r="O3" s="11" t="inlineStr">
        <is>
          <t>0000-0000-0000-0000</t>
        </is>
      </c>
      <c r="P3" s="11" t="inlineStr">
        <is>
          <t>https://ui.adsabs.harvard.edu/...</t>
        </is>
      </c>
      <c r="Q3" s="11" t="inlineStr"/>
      <c r="R3" s="11" t="inlineStr"/>
      <c r="S3" s="11" t="inlineStr"/>
      <c r="T3" s="11" t="inlineStr"/>
      <c r="U3" s="11" t="n">
        <v>2019</v>
      </c>
      <c r="V3" s="11" t="inlineStr"/>
      <c r="W3" s="11" t="inlineStr"/>
      <c r="X3" s="11" t="n">
        <v>1</v>
      </c>
      <c r="Y3" s="11" t="inlineStr">
        <is>
          <t>Yes</t>
        </is>
      </c>
      <c r="Z3" s="11">
        <f>IF(A3="","",LOWER(SUBSTITUTE(SUBSTITUTE(TRIM(A3)," ","-"),".","")))</f>
        <v/>
      </c>
      <c r="AA3" s="11" t="inlineStr"/>
    </row>
    <row r="4">
      <c r="Z4">
        <f>IF(A4="","",LOWER(SUBSTITUTE(SUBSTITUTE(TRIM(A4)," ","-"),".","")))</f>
        <v/>
      </c>
    </row>
    <row r="5">
      <c r="Z5">
        <f>IF(A5="","",LOWER(SUBSTITUTE(SUBSTITUTE(TRIM(A5)," ","-"),".","")))</f>
        <v/>
      </c>
    </row>
    <row r="6">
      <c r="Z6">
        <f>IF(A6="","",LOWER(SUBSTITUTE(SUBSTITUTE(TRIM(A6)," ","-"),".","")))</f>
        <v/>
      </c>
    </row>
    <row r="7">
      <c r="Z7">
        <f>IF(A7="","",LOWER(SUBSTITUTE(SUBSTITUTE(TRIM(A7)," ","-"),".","")))</f>
        <v/>
      </c>
    </row>
    <row r="8">
      <c r="Z8">
        <f>IF(A8="","",LOWER(SUBSTITUTE(SUBSTITUTE(TRIM(A8)," ","-"),".","")))</f>
        <v/>
      </c>
    </row>
    <row r="9">
      <c r="Z9">
        <f>IF(A9="","",LOWER(SUBSTITUTE(SUBSTITUTE(TRIM(A9)," ","-"),".","")))</f>
        <v/>
      </c>
    </row>
    <row r="10">
      <c r="Z10">
        <f>IF(A10="","",LOWER(SUBSTITUTE(SUBSTITUTE(TRIM(A10)," ","-"),".","")))</f>
        <v/>
      </c>
    </row>
    <row r="11">
      <c r="Z11">
        <f>IF(A11="","",LOWER(SUBSTITUTE(SUBSTITUTE(TRIM(A11)," ","-"),".","")))</f>
        <v/>
      </c>
    </row>
    <row r="12">
      <c r="Z12">
        <f>IF(A12="","",LOWER(SUBSTITUTE(SUBSTITUTE(TRIM(A12)," ","-"),".","")))</f>
        <v/>
      </c>
    </row>
    <row r="13">
      <c r="Z13">
        <f>IF(A13="","",LOWER(SUBSTITUTE(SUBSTITUTE(TRIM(A13)," ","-"),".","")))</f>
        <v/>
      </c>
    </row>
    <row r="14">
      <c r="Z14">
        <f>IF(A14="","",LOWER(SUBSTITUTE(SUBSTITUTE(TRIM(A14)," ","-"),".","")))</f>
        <v/>
      </c>
    </row>
    <row r="15">
      <c r="Z15">
        <f>IF(A15="","",LOWER(SUBSTITUTE(SUBSTITUTE(TRIM(A15)," ","-"),".","")))</f>
        <v/>
      </c>
    </row>
    <row r="16">
      <c r="Z16">
        <f>IF(A16="","",LOWER(SUBSTITUTE(SUBSTITUTE(TRIM(A16)," ","-"),".","")))</f>
        <v/>
      </c>
    </row>
    <row r="17">
      <c r="Z17">
        <f>IF(A17="","",LOWER(SUBSTITUTE(SUBSTITUTE(TRIM(A17)," ","-"),".","")))</f>
        <v/>
      </c>
    </row>
    <row r="18">
      <c r="Z18">
        <f>IF(A18="","",LOWER(SUBSTITUTE(SUBSTITUTE(TRIM(A18)," ","-"),".","")))</f>
        <v/>
      </c>
    </row>
    <row r="19">
      <c r="Z19">
        <f>IF(A19="","",LOWER(SUBSTITUTE(SUBSTITUTE(TRIM(A19)," ","-"),".","")))</f>
        <v/>
      </c>
    </row>
    <row r="20">
      <c r="Z20">
        <f>IF(A20="","",LOWER(SUBSTITUTE(SUBSTITUTE(TRIM(A20)," ","-"),".","")))</f>
        <v/>
      </c>
    </row>
    <row r="21">
      <c r="Z21">
        <f>IF(A21="","",LOWER(SUBSTITUTE(SUBSTITUTE(TRIM(A21)," ","-"),".","")))</f>
        <v/>
      </c>
    </row>
    <row r="22">
      <c r="Z22">
        <f>IF(A22="","",LOWER(SUBSTITUTE(SUBSTITUTE(TRIM(A22)," ","-"),".","")))</f>
        <v/>
      </c>
    </row>
    <row r="23">
      <c r="Z23">
        <f>IF(A23="","",LOWER(SUBSTITUTE(SUBSTITUTE(TRIM(A23)," ","-"),".","")))</f>
        <v/>
      </c>
    </row>
    <row r="24">
      <c r="Z24">
        <f>IF(A24="","",LOWER(SUBSTITUTE(SUBSTITUTE(TRIM(A24)," ","-"),".","")))</f>
        <v/>
      </c>
    </row>
    <row r="25">
      <c r="Z25">
        <f>IF(A25="","",LOWER(SUBSTITUTE(SUBSTITUTE(TRIM(A25)," ","-"),".","")))</f>
        <v/>
      </c>
    </row>
    <row r="26">
      <c r="Z26">
        <f>IF(A26="","",LOWER(SUBSTITUTE(SUBSTITUTE(TRIM(A26)," ","-"),".","")))</f>
        <v/>
      </c>
    </row>
    <row r="27">
      <c r="Z27">
        <f>IF(A27="","",LOWER(SUBSTITUTE(SUBSTITUTE(TRIM(A27)," ","-"),".","")))</f>
        <v/>
      </c>
    </row>
    <row r="28">
      <c r="Z28">
        <f>IF(A28="","",LOWER(SUBSTITUTE(SUBSTITUTE(TRIM(A28)," ","-"),".","")))</f>
        <v/>
      </c>
    </row>
    <row r="29">
      <c r="Z29">
        <f>IF(A29="","",LOWER(SUBSTITUTE(SUBSTITUTE(TRIM(A29)," ","-"),".","")))</f>
        <v/>
      </c>
    </row>
    <row r="30">
      <c r="Z30">
        <f>IF(A30="","",LOWER(SUBSTITUTE(SUBSTITUTE(TRIM(A30)," ","-"),".","")))</f>
        <v/>
      </c>
    </row>
    <row r="31">
      <c r="Z31">
        <f>IF(A31="","",LOWER(SUBSTITUTE(SUBSTITUTE(TRIM(A31)," ","-"),".","")))</f>
        <v/>
      </c>
    </row>
    <row r="32">
      <c r="Z32">
        <f>IF(A32="","",LOWER(SUBSTITUTE(SUBSTITUTE(TRIM(A32)," ","-"),".","")))</f>
        <v/>
      </c>
    </row>
    <row r="33">
      <c r="Z33">
        <f>IF(A33="","",LOWER(SUBSTITUTE(SUBSTITUTE(TRIM(A33)," ","-"),".","")))</f>
        <v/>
      </c>
    </row>
    <row r="34">
      <c r="Z34">
        <f>IF(A34="","",LOWER(SUBSTITUTE(SUBSTITUTE(TRIM(A34)," ","-"),".","")))</f>
        <v/>
      </c>
    </row>
    <row r="35">
      <c r="Z35">
        <f>IF(A35="","",LOWER(SUBSTITUTE(SUBSTITUTE(TRIM(A35)," ","-"),".","")))</f>
        <v/>
      </c>
    </row>
    <row r="36">
      <c r="Z36">
        <f>IF(A36="","",LOWER(SUBSTITUTE(SUBSTITUTE(TRIM(A36)," ","-"),".","")))</f>
        <v/>
      </c>
    </row>
    <row r="37">
      <c r="Z37">
        <f>IF(A37="","",LOWER(SUBSTITUTE(SUBSTITUTE(TRIM(A37)," ","-"),".","")))</f>
        <v/>
      </c>
    </row>
    <row r="38">
      <c r="Z38">
        <f>IF(A38="","",LOWER(SUBSTITUTE(SUBSTITUTE(TRIM(A38)," ","-"),".","")))</f>
        <v/>
      </c>
    </row>
    <row r="39">
      <c r="Z39">
        <f>IF(A39="","",LOWER(SUBSTITUTE(SUBSTITUTE(TRIM(A39)," ","-"),".","")))</f>
        <v/>
      </c>
    </row>
    <row r="40">
      <c r="Z40">
        <f>IF(A40="","",LOWER(SUBSTITUTE(SUBSTITUTE(TRIM(A40)," ","-"),".","")))</f>
        <v/>
      </c>
    </row>
    <row r="41">
      <c r="Z41">
        <f>IF(A41="","",LOWER(SUBSTITUTE(SUBSTITUTE(TRIM(A41)," ","-"),".","")))</f>
        <v/>
      </c>
    </row>
    <row r="42">
      <c r="Z42">
        <f>IF(A42="","",LOWER(SUBSTITUTE(SUBSTITUTE(TRIM(A42)," ","-"),".","")))</f>
        <v/>
      </c>
    </row>
    <row r="43">
      <c r="Z43">
        <f>IF(A43="","",LOWER(SUBSTITUTE(SUBSTITUTE(TRIM(A43)," ","-"),".","")))</f>
        <v/>
      </c>
    </row>
  </sheetData>
  <autoFilter ref="A1:AA43"/>
  <conditionalFormatting sqref="A4:AA43">
    <cfRule type="expression" priority="1" dxfId="0">
      <formula>TRUE</formula>
    </cfRule>
  </conditionalFormatting>
  <dataValidations count="3">
    <dataValidation sqref="C3:C44" showDropDown="0" showInputMessage="0" showErrorMessage="0" allowBlank="1" errorTitle="Invalid value" error="Choose a value from the list" type="list">
      <formula1>=Lists!$A$2:$A$4</formula1>
    </dataValidation>
    <dataValidation sqref="D3:D44" showDropDown="0" showInputMessage="0" showErrorMessage="0" allowBlank="1" errorTitle="Invalid value" error="Choose a value from the list" type="list">
      <formula1>=Lists!$B$2:$B$9</formula1>
    </dataValidation>
    <dataValidation sqref="Y3:Y44" showDropDown="0" showInputMessage="0" showErrorMessage="0" allowBlank="1" errorTitle="Invalid value" error="Choose a value from the list" type="list">
      <formula1>=Lists!$F$2:$F$3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9C86"/>
    <outlinePr summaryBelow="1" summaryRight="1"/>
    <pageSetUpPr/>
  </sheetPr>
  <dimension ref="A1:O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40" customWidth="1" min="3" max="3"/>
    <col width="28" customWidth="1" min="4" max="4"/>
    <col width="18" customWidth="1" min="5" max="5"/>
    <col width="26" customWidth="1" min="6" max="6"/>
    <col width="16" customWidth="1" min="7" max="7"/>
    <col width="34" customWidth="1" min="8" max="8"/>
    <col width="34" customWidth="1" min="9" max="9"/>
    <col width="22" customWidth="1" min="10" max="10"/>
    <col width="14" customWidth="1" min="11" max="11"/>
    <col width="26" customWidth="1" min="12" max="12"/>
    <col width="30" customWidth="1" min="13" max="13"/>
    <col width="14" customWidth="1" min="14" max="14"/>
    <col width="30" customWidth="1" min="15" max="15"/>
  </cols>
  <sheetData>
    <row r="1" ht="32" customHeight="1">
      <c r="A1" s="9" t="inlineStr">
        <is>
          <t>Year *</t>
        </is>
      </c>
      <c r="B1" s="9" t="inlineStr">
        <is>
          <t>Title *</t>
        </is>
      </c>
      <c r="C1" s="9" t="inlineStr">
        <is>
          <t>Authors *</t>
        </is>
      </c>
      <c r="D1" s="9" t="inlineStr">
        <is>
          <t>Journal / venue *</t>
        </is>
      </c>
      <c r="E1" s="10" t="inlineStr">
        <is>
          <t>Volume, page / article no.</t>
        </is>
      </c>
      <c r="F1" s="10" t="inlineStr">
        <is>
          <t>DOI</t>
        </is>
      </c>
      <c r="G1" s="10" t="inlineStr">
        <is>
          <t>arXiv ID</t>
        </is>
      </c>
      <c r="H1" s="10" t="inlineStr">
        <is>
          <t>ADS link</t>
        </is>
      </c>
      <c r="I1" s="10" t="inlineStr">
        <is>
          <t>PDF link</t>
        </is>
      </c>
      <c r="J1" s="9" t="inlineStr">
        <is>
          <t>Type *</t>
        </is>
      </c>
      <c r="K1" s="9" t="inlineStr">
        <is>
          <t>Group *</t>
        </is>
      </c>
      <c r="L1" s="10" t="inlineStr">
        <is>
          <t>Related project</t>
        </is>
      </c>
      <c r="M1" s="10" t="inlineStr">
        <is>
          <t>Team authors</t>
        </is>
      </c>
      <c r="N1" s="9" t="inlineStr">
        <is>
          <t>Show in 'Selected papers'? *</t>
        </is>
      </c>
      <c r="O1" s="10" t="inlineStr">
        <is>
          <t>Notes</t>
        </is>
      </c>
    </row>
    <row r="2" ht="60" customHeight="1">
      <c r="A2" s="5" t="inlineStr">
        <is>
          <t>Publication year</t>
        </is>
      </c>
      <c r="B2" s="5" t="inlineStr">
        <is>
          <t>Full title</t>
        </is>
      </c>
      <c r="C2" s="5" t="inlineStr">
        <is>
          <t>As in the paper: Chanchaiworawit, K.; Surname, A.; ... (et al. is fine after ~10)</t>
        </is>
      </c>
      <c r="D2" s="5" t="inlineStr">
        <is>
          <t>ApJ, MNRAS, Proc. SPIE, A&amp;A, thesis, ...</t>
        </is>
      </c>
      <c r="E2" s="5" t="inlineStr">
        <is>
          <t>e.g. 912, 45 or 13096, 1309612</t>
        </is>
      </c>
      <c r="F2" s="5" t="inlineStr">
        <is>
          <t>10.xxxx/xxxxx</t>
        </is>
      </c>
      <c r="G2" s="5" t="inlineStr">
        <is>
          <t>e.g. 2409.01234</t>
        </is>
      </c>
      <c r="H2" s="5" t="inlineStr">
        <is>
          <t>https://ui.adsabs.harvard.edu/abs/&lt;bibcode&gt;</t>
        </is>
      </c>
      <c r="I2" s="5" t="inlineStr">
        <is>
          <t>Open-access PDF or Drive link</t>
        </is>
      </c>
      <c r="J2" s="5" t="inlineStr">
        <is>
          <t>Refereed article, proceedings, report, thesis, preprint</t>
        </is>
      </c>
      <c r="K2" s="5" t="inlineStr">
        <is>
          <t>SEA OtTeRS, SEAL Lab, or Both</t>
        </is>
      </c>
      <c r="L2" s="5" t="inlineStr">
        <is>
          <t>Short name from the Projects sheet, e.g. CoLoRS, MACS J1149 RM</t>
        </is>
      </c>
      <c r="M2" s="5" t="inlineStr">
        <is>
          <t>Team members on the author list (names as in People sheet, semicolon-separated)</t>
        </is>
      </c>
      <c r="N2" s="5" t="inlineStr">
        <is>
          <t>Yes → main page. No → full list only.</t>
        </is>
      </c>
      <c r="O2" s="5" t="inlineStr"/>
    </row>
    <row r="3">
      <c r="A3" s="11" t="n">
        <v>2025</v>
      </c>
      <c r="B3" s="11" t="inlineStr">
        <is>
          <t>CoLoRS: a Compact Low-Resolution Spectrograph for the 0.7-m Thai Robotic Telescope</t>
        </is>
      </c>
      <c r="C3" s="11" t="inlineStr">
        <is>
          <t>Chanchaiworawit, K.; ...</t>
        </is>
      </c>
      <c r="D3" s="11" t="inlineStr">
        <is>
          <t>Proc. SPIE</t>
        </is>
      </c>
      <c r="E3" s="11" t="inlineStr">
        <is>
          <t>[volume, paper no.]</t>
        </is>
      </c>
      <c r="F3" s="11" t="inlineStr"/>
      <c r="G3" s="11" t="inlineStr"/>
      <c r="H3" s="11" t="inlineStr">
        <is>
          <t>https://ui.adsabs.harvard.edu/...</t>
        </is>
      </c>
      <c r="I3" s="11" t="inlineStr"/>
      <c r="J3" s="11" t="inlineStr">
        <is>
          <t>Conference proceedings</t>
        </is>
      </c>
      <c r="K3" s="11" t="inlineStr">
        <is>
          <t>SEA OtTeRS</t>
        </is>
      </c>
      <c r="L3" s="11" t="inlineStr">
        <is>
          <t>CoLoRS</t>
        </is>
      </c>
      <c r="M3" s="11" t="inlineStr">
        <is>
          <t>Krittapas Chanchaiworawit</t>
        </is>
      </c>
      <c r="N3" s="11" t="inlineStr">
        <is>
          <t>Yes</t>
        </is>
      </c>
      <c r="O3" s="11" t="inlineStr">
        <is>
          <t>example row — replace with real details</t>
        </is>
      </c>
    </row>
  </sheetData>
  <autoFilter ref="A1:O83"/>
  <conditionalFormatting sqref="A4:O83">
    <cfRule type="expression" priority="1" dxfId="0">
      <formula>TRUE</formula>
    </cfRule>
  </conditionalFormatting>
  <dataValidations count="3">
    <dataValidation sqref="J3:J84" showDropDown="0" showInputMessage="0" showErrorMessage="0" allowBlank="1" errorTitle="Invalid value" error="Choose a value from the list" type="list">
      <formula1>=Lists!$C$2:$C$7</formula1>
    </dataValidation>
    <dataValidation sqref="K3:K84" showDropDown="0" showInputMessage="0" showErrorMessage="0" allowBlank="1" errorTitle="Invalid value" error="Choose a value from the list" type="list">
      <formula1>=Lists!$A$2:$A$4</formula1>
    </dataValidation>
    <dataValidation sqref="N3:N84" showDropDown="0" showInputMessage="0" showErrorMessage="0" allowBlank="1" errorTitle="Invalid value" error="Choose a value from the list" type="list">
      <formula1>=Lists!$F$2:$F$3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86C9"/>
    <outlinePr summaryBelow="1" summaryRight="1"/>
    <pageSetUpPr/>
  </sheetPr>
  <dimension ref="A1:Q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20" customWidth="1" min="4" max="4"/>
    <col width="16" customWidth="1" min="5" max="5"/>
    <col width="50" customWidth="1" min="6" max="6"/>
    <col width="70" customWidth="1" min="7" max="7"/>
    <col width="24" customWidth="1" min="8" max="8"/>
    <col width="34" customWidth="1" min="9" max="9"/>
    <col width="20" customWidth="1" min="10" max="10"/>
    <col width="30" customWidth="1" min="11" max="11"/>
    <col width="30" customWidth="1" min="12" max="12"/>
    <col width="24" customWidth="1" min="13" max="13"/>
    <col width="30" customWidth="1" min="14" max="14"/>
    <col width="30" customWidth="1" min="15" max="15"/>
    <col width="10" customWidth="1" min="16" max="16"/>
    <col width="12" customWidth="1" min="17" max="17"/>
  </cols>
  <sheetData>
    <row r="1" ht="32" customHeight="1">
      <c r="A1" s="9" t="inlineStr">
        <is>
          <t>Project name *</t>
        </is>
      </c>
      <c r="B1" s="9" t="inlineStr">
        <is>
          <t>Short name *</t>
        </is>
      </c>
      <c r="C1" s="9" t="inlineStr">
        <is>
          <t>Group *</t>
        </is>
      </c>
      <c r="D1" s="9" t="inlineStr">
        <is>
          <t>Type *</t>
        </is>
      </c>
      <c r="E1" s="9" t="inlineStr">
        <is>
          <t>Status *</t>
        </is>
      </c>
      <c r="F1" s="9" t="inlineStr">
        <is>
          <t>One-line summary *</t>
        </is>
      </c>
      <c r="G1" s="10" t="inlineStr">
        <is>
          <t>Description</t>
        </is>
      </c>
      <c r="H1" s="10" t="inlineStr">
        <is>
          <t>Facility / telescope</t>
        </is>
      </c>
      <c r="I1" s="10" t="inlineStr">
        <is>
          <t>Key numbers</t>
        </is>
      </c>
      <c r="J1" s="10" t="inlineStr">
        <is>
          <t>Timeline</t>
        </is>
      </c>
      <c r="K1" s="10" t="inlineStr">
        <is>
          <t>Team members</t>
        </is>
      </c>
      <c r="L1" s="10" t="inlineStr">
        <is>
          <t>Collaborators / partners</t>
        </is>
      </c>
      <c r="M1" s="10" t="inlineStr">
        <is>
          <t>Funding</t>
        </is>
      </c>
      <c r="N1" s="10" t="inlineStr">
        <is>
          <t>Link</t>
        </is>
      </c>
      <c r="O1" s="10" t="inlineStr">
        <is>
          <t>Image link</t>
        </is>
      </c>
      <c r="P1" s="10" t="inlineStr">
        <is>
          <t>Order on page</t>
        </is>
      </c>
      <c r="Q1" s="9" t="inlineStr">
        <is>
          <t>Show on website? *</t>
        </is>
      </c>
    </row>
    <row r="2" ht="60" customHeight="1">
      <c r="A2" s="5" t="inlineStr">
        <is>
          <t>Full name, e.g. Low-Resolution Spectrograph for the 2.4-m TNT</t>
        </is>
      </c>
      <c r="B2" s="5" t="inlineStr">
        <is>
          <t>Acronym used in tags and cross-references, e.g. LRS</t>
        </is>
      </c>
      <c r="C2" s="5" t="inlineStr">
        <is>
          <t>SEA OtTeRS or SEAL Lab</t>
        </is>
      </c>
      <c r="D2" s="5" t="inlineStr">
        <is>
          <t>Research project, Instrument, Facility / capability, Service</t>
        </is>
      </c>
      <c r="E2" s="5" t="inlineStr">
        <is>
          <t>Active, In development, Planned, Completed, On hold</t>
        </is>
      </c>
      <c r="F2" s="5" t="inlineStr">
        <is>
          <t>Shown on the project card, ≤ 200 characters</t>
        </is>
      </c>
      <c r="G2" s="5" t="inlineStr">
        <is>
          <t>2–3 paragraphs for a dedicated section or page (optional)</t>
        </is>
      </c>
      <c r="H2" s="5" t="inlineStr">
        <is>
          <t>2.4-m TNT, 0.7-m TRT, JWST archive, 5-axis SPDT machine ...</t>
        </is>
      </c>
      <c r="I2" s="5" t="inlineStr">
        <is>
          <t>Things worth showing in monospace: z = 0.535; R ≈ 500; 380–800 nm; Ra &lt; 5 nm</t>
        </is>
      </c>
      <c r="J2" s="5" t="inlineStr">
        <is>
          <t>e.g. 2024–2026, first light 2026</t>
        </is>
      </c>
      <c r="K2" s="5" t="inlineStr">
        <is>
          <t>Names as in People sheet, semicolon-separated</t>
        </is>
      </c>
      <c r="L2" s="5" t="inlineStr">
        <is>
          <t>External institutes</t>
        </is>
      </c>
      <c r="M2" s="5" t="inlineStr">
        <is>
          <t>Grant / program, if you want it shown</t>
        </is>
      </c>
      <c r="N2" s="5" t="inlineStr">
        <is>
          <t>Project page, GitHub, paper</t>
        </is>
      </c>
      <c r="O2" s="5" t="inlineStr">
        <is>
          <t>Drive link to a photo or figure (landscape, ≥ 1200 px)</t>
        </is>
      </c>
      <c r="P2" s="5" t="inlineStr">
        <is>
          <t>1 = first</t>
        </is>
      </c>
      <c r="Q2" s="5" t="inlineStr">
        <is>
          <t>Yes / No</t>
        </is>
      </c>
    </row>
    <row r="3">
      <c r="A3" s="11" t="inlineStr">
        <is>
          <t>Compact Low-Resolution Spectrograph for the 0.7-m TRT</t>
        </is>
      </c>
      <c r="B3" s="11" t="inlineStr">
        <is>
          <t>CoLoRS</t>
        </is>
      </c>
      <c r="C3" s="11" t="inlineStr">
        <is>
          <t>SEA OtTeRS</t>
        </is>
      </c>
      <c r="D3" s="11" t="inlineStr">
        <is>
          <t>Instrument</t>
        </is>
      </c>
      <c r="E3" s="11" t="inlineStr">
        <is>
          <t>In development</t>
        </is>
      </c>
      <c r="F3" s="11" t="inlineStr">
        <is>
          <t>A compact, low-cost spectrograph bringing automated low-resolution spectroscopy of bright variable sources to the robotic 0.7-m TRT.</t>
        </is>
      </c>
      <c r="G3" s="11" t="inlineStr"/>
      <c r="H3" s="11" t="inlineStr">
        <is>
          <t>0.7-m Thai Robotic Telescope (TRT)</t>
        </is>
      </c>
      <c r="I3" s="11" t="inlineStr">
        <is>
          <t>R ≈ [value]; [λ range] nm</t>
        </is>
      </c>
      <c r="J3" s="11" t="inlineStr">
        <is>
          <t>[years]</t>
        </is>
      </c>
      <c r="K3" s="11" t="inlineStr">
        <is>
          <t>Krittapas Chanchaiworawit</t>
        </is>
      </c>
      <c r="L3" s="11" t="inlineStr"/>
      <c r="M3" s="11" t="inlineStr"/>
      <c r="N3" s="11" t="inlineStr"/>
      <c r="O3" s="11" t="inlineStr"/>
      <c r="P3" s="11" t="n">
        <v>5</v>
      </c>
      <c r="Q3" s="11" t="inlineStr">
        <is>
          <t>Yes</t>
        </is>
      </c>
    </row>
  </sheetData>
  <autoFilter ref="A1:Q43"/>
  <conditionalFormatting sqref="A4:Q43">
    <cfRule type="expression" priority="1" dxfId="0">
      <formula>TRUE</formula>
    </cfRule>
  </conditionalFormatting>
  <dataValidations count="4">
    <dataValidation sqref="C3:C44" showDropDown="0" showInputMessage="0" showErrorMessage="0" allowBlank="1" errorTitle="Invalid value" error="Choose a value from the list" type="list">
      <formula1>=Lists!$A$2:$A$4</formula1>
    </dataValidation>
    <dataValidation sqref="D3:D44" showDropDown="0" showInputMessage="0" showErrorMessage="0" allowBlank="1" errorTitle="Invalid value" error="Choose a value from the list" type="list">
      <formula1>=Lists!$D$2:$D$5</formula1>
    </dataValidation>
    <dataValidation sqref="E3:E44" showDropDown="0" showInputMessage="0" showErrorMessage="0" allowBlank="1" errorTitle="Invalid value" error="Choose a value from the list" type="list">
      <formula1>=Lists!$E$2:$E$6</formula1>
    </dataValidation>
    <dataValidation sqref="Q3:Q44" showDropDown="0" showInputMessage="0" showErrorMessage="0" allowBlank="1" errorTitle="Invalid value" error="Choose a value from the list" type="list">
      <formula1>=Lists!$F$2:$F$3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86C9"/>
    <outlinePr summaryBelow="1" summaryRight="1"/>
    <pageSetUpPr/>
  </sheetPr>
  <dimension ref="A1:E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30" customWidth="1" min="3" max="3"/>
    <col width="50" customWidth="1" min="4" max="4"/>
    <col width="12" customWidth="1" min="5" max="5"/>
  </cols>
  <sheetData>
    <row r="1" ht="32" customHeight="1">
      <c r="A1" s="9" t="inlineStr">
        <is>
          <t>Capability / specification *</t>
        </is>
      </c>
      <c r="B1" s="9" t="inlineStr">
        <is>
          <t>Value *</t>
        </is>
      </c>
      <c r="C1" s="10" t="inlineStr">
        <is>
          <t>Applies to</t>
        </is>
      </c>
      <c r="D1" s="10" t="inlineStr">
        <is>
          <t>Notes</t>
        </is>
      </c>
      <c r="E1" s="9" t="inlineStr">
        <is>
          <t>Show on website? *</t>
        </is>
      </c>
    </row>
    <row r="2" ht="60" customHeight="1">
      <c r="A2" s="5" t="inlineStr">
        <is>
          <t>e.g. Surface roughness</t>
        </is>
      </c>
      <c r="B2" s="5" t="inlineStr">
        <is>
          <t>e.g. Ra &lt; 5 nm</t>
        </is>
      </c>
      <c r="C2" s="5" t="inlineStr">
        <is>
          <t>Machine / bench / process</t>
        </is>
      </c>
      <c r="D2" s="5" t="inlineStr">
        <is>
          <t>Conditions, materials, measurement method</t>
        </is>
      </c>
      <c r="E2" s="5" t="inlineStr">
        <is>
          <t>Yes / No</t>
        </is>
      </c>
    </row>
    <row r="3">
      <c r="A3" s="11" t="inlineStr">
        <is>
          <t>Surface roughness (diamond turning)</t>
        </is>
      </c>
      <c r="B3" s="11" t="inlineStr">
        <is>
          <t>Ra &lt; 5 nm</t>
        </is>
      </c>
      <c r="C3" s="11" t="inlineStr">
        <is>
          <t>5-axis SPDT machine</t>
        </is>
      </c>
      <c r="D3" s="11" t="inlineStr">
        <is>
          <t>From the EAMA11 poster</t>
        </is>
      </c>
      <c r="E3" s="11" t="inlineStr">
        <is>
          <t>Yes</t>
        </is>
      </c>
    </row>
  </sheetData>
  <autoFilter ref="A1:E33"/>
  <conditionalFormatting sqref="A4:E33">
    <cfRule type="expression" priority="1" dxfId="0">
      <formula>TRUE</formula>
    </cfRule>
  </conditionalFormatting>
  <dataValidations count="1">
    <dataValidation sqref="E3:E34" showDropDown="0" showInputMessage="0" showErrorMessage="0" allowBlank="1" errorTitle="Invalid value" error="Choose a value from the list" type="list">
      <formula1>=Lists!$F$2:$F$3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E767D"/>
    <outlinePr summaryBelow="1" summaryRight="1"/>
    <pageSetUpPr/>
  </sheetPr>
  <dimension ref="A1:G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12" min="1" max="1"/>
    <col width="40" customWidth="1" min="2" max="2"/>
    <col width="70" customWidth="1" min="3" max="3"/>
    <col width="14" customWidth="1" min="4" max="4"/>
    <col width="34" customWidth="1" min="5" max="5"/>
    <col width="34" customWidth="1" min="6" max="6"/>
    <col width="12" customWidth="1" min="7" max="7"/>
  </cols>
  <sheetData>
    <row r="1" ht="32" customHeight="1">
      <c r="A1" s="9" t="inlineStr">
        <is>
          <t>Date *</t>
        </is>
      </c>
      <c r="B1" s="9" t="inlineStr">
        <is>
          <t>Headline *</t>
        </is>
      </c>
      <c r="C1" s="9" t="inlineStr">
        <is>
          <t>Text *</t>
        </is>
      </c>
      <c r="D1" s="10" t="inlineStr">
        <is>
          <t>Group</t>
        </is>
      </c>
      <c r="E1" s="10" t="inlineStr">
        <is>
          <t>Link</t>
        </is>
      </c>
      <c r="F1" s="10" t="inlineStr">
        <is>
          <t>Image link</t>
        </is>
      </c>
      <c r="G1" s="9" t="inlineStr">
        <is>
          <t>Show on website? *</t>
        </is>
      </c>
    </row>
    <row r="2" ht="60" customHeight="1">
      <c r="A2" s="5" t="inlineStr">
        <is>
          <t>YYYY-MM-DD</t>
        </is>
      </c>
      <c r="B2" s="5" t="inlineStr">
        <is>
          <t>≤ 80 characters</t>
        </is>
      </c>
      <c r="C2" s="5" t="inlineStr">
        <is>
          <t>2–3 sentences</t>
        </is>
      </c>
      <c r="D2" s="5" t="inlineStr">
        <is>
          <t>SEA OtTeRS, SEAL Lab, or Both</t>
        </is>
      </c>
      <c r="E2" s="5" t="inlineStr">
        <is>
          <t>Paper, press release, event page</t>
        </is>
      </c>
      <c r="F2" s="5" t="inlineStr">
        <is>
          <t>Drive link (optional)</t>
        </is>
      </c>
      <c r="G2" s="5" t="inlineStr">
        <is>
          <t>Yes / No</t>
        </is>
      </c>
    </row>
    <row r="3">
      <c r="A3" s="11" t="inlineStr">
        <is>
          <t>2026-09-02</t>
        </is>
      </c>
      <c r="B3" s="11" t="inlineStr">
        <is>
          <t>Team website launched</t>
        </is>
      </c>
      <c r="C3" s="11" t="inlineStr">
        <is>
          <t>SEA OtTeRS and SEAL Lab now share one home online.</t>
        </is>
      </c>
      <c r="D3" s="11" t="inlineStr">
        <is>
          <t>Both</t>
        </is>
      </c>
      <c r="E3" s="11" t="inlineStr"/>
      <c r="F3" s="11" t="inlineStr"/>
      <c r="G3" s="11" t="inlineStr">
        <is>
          <t>Yes</t>
        </is>
      </c>
    </row>
  </sheetData>
  <autoFilter ref="A1:G43"/>
  <conditionalFormatting sqref="A4:G43">
    <cfRule type="expression" priority="1" dxfId="0">
      <formula>TRUE</formula>
    </cfRule>
  </conditionalFormatting>
  <dataValidations count="2">
    <dataValidation sqref="D3:D44" showDropDown="0" showInputMessage="0" showErrorMessage="0" allowBlank="1" errorTitle="Invalid value" error="Choose a value from the list" type="list">
      <formula1>=Lists!$A$2:$A$4</formula1>
    </dataValidation>
    <dataValidation sqref="G3:G44" showDropDown="0" showInputMessage="0" showErrorMessage="0" allowBlank="1" errorTitle="Invalid value" error="Choose a value from the list" type="list">
      <formula1>=Lists!$F$2:$F$3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3" t="inlineStr">
        <is>
          <t>Group</t>
        </is>
      </c>
      <c r="B1" s="13" t="inlineStr">
        <is>
          <t>Category</t>
        </is>
      </c>
      <c r="C1" s="13" t="inlineStr">
        <is>
          <t>PubType</t>
        </is>
      </c>
      <c r="D1" s="13" t="inlineStr">
        <is>
          <t>ProjectType</t>
        </is>
      </c>
      <c r="E1" s="13" t="inlineStr">
        <is>
          <t>Status</t>
        </is>
      </c>
      <c r="F1" s="13" t="inlineStr">
        <is>
          <t>YesNo</t>
        </is>
      </c>
    </row>
    <row r="2">
      <c r="A2" s="14" t="inlineStr">
        <is>
          <t>SEA OtTeRS</t>
        </is>
      </c>
      <c r="B2" s="14" t="inlineStr">
        <is>
          <t>PI</t>
        </is>
      </c>
      <c r="C2" s="14" t="inlineStr">
        <is>
          <t>Refereed article</t>
        </is>
      </c>
      <c r="D2" s="14" t="inlineStr">
        <is>
          <t>Research project</t>
        </is>
      </c>
      <c r="E2" s="14" t="inlineStr">
        <is>
          <t>Active</t>
        </is>
      </c>
      <c r="F2" s="14" t="inlineStr">
        <is>
          <t>Yes</t>
        </is>
      </c>
    </row>
    <row r="3">
      <c r="A3" s="14" t="inlineStr">
        <is>
          <t>SEAL Lab</t>
        </is>
      </c>
      <c r="B3" s="14" t="inlineStr">
        <is>
          <t>Staff scientist / engineer</t>
        </is>
      </c>
      <c r="C3" s="14" t="inlineStr">
        <is>
          <t>Conference proceedings</t>
        </is>
      </c>
      <c r="D3" s="14" t="inlineStr">
        <is>
          <t>Instrument</t>
        </is>
      </c>
      <c r="E3" s="14" t="inlineStr">
        <is>
          <t>In development</t>
        </is>
      </c>
      <c r="F3" s="14" t="inlineStr">
        <is>
          <t>No</t>
        </is>
      </c>
    </row>
    <row r="4">
      <c r="A4" s="14" t="inlineStr">
        <is>
          <t>Both</t>
        </is>
      </c>
      <c r="B4" s="14" t="inlineStr">
        <is>
          <t>Postdoc</t>
        </is>
      </c>
      <c r="C4" s="14" t="inlineStr">
        <is>
          <t>Technical report</t>
        </is>
      </c>
      <c r="D4" s="14" t="inlineStr">
        <is>
          <t>Facility / capability</t>
        </is>
      </c>
      <c r="E4" s="14" t="inlineStr">
        <is>
          <t>Planned</t>
        </is>
      </c>
    </row>
    <row r="5">
      <c r="B5" s="14" t="inlineStr">
        <is>
          <t>PhD student</t>
        </is>
      </c>
      <c r="C5" s="14" t="inlineStr">
        <is>
          <t>Thesis</t>
        </is>
      </c>
      <c r="D5" s="14" t="inlineStr">
        <is>
          <t>Service</t>
        </is>
      </c>
      <c r="E5" s="14" t="inlineStr">
        <is>
          <t>Completed</t>
        </is>
      </c>
    </row>
    <row r="6">
      <c r="B6" s="14" t="inlineStr">
        <is>
          <t>MSc student</t>
        </is>
      </c>
      <c r="C6" s="14" t="inlineStr">
        <is>
          <t>Preprint</t>
        </is>
      </c>
      <c r="E6" s="14" t="inlineStr">
        <is>
          <t>On hold</t>
        </is>
      </c>
    </row>
    <row r="7">
      <c r="B7" s="14" t="inlineStr">
        <is>
          <t>Undergraduate / intern</t>
        </is>
      </c>
      <c r="C7" s="14" t="inlineStr">
        <is>
          <t>Other</t>
        </is>
      </c>
    </row>
    <row r="8">
      <c r="B8" s="14" t="inlineStr">
        <is>
          <t>Alumni</t>
        </is>
      </c>
    </row>
    <row r="9">
      <c r="B9" s="14" t="inlineStr">
        <is>
          <t>Collaborator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2026-09-03T01:47:59Z</dcterms:created>
  <dcterms:modified xmlns:dcterms="http://purl.org/dc/terms/" xmlns:xsi="http://www.w3.org/2001/XMLSchema-instance" xsi:type="dcterms:W3CDTF">2026-09-03T01:47:59Z</dcterms:modified>
</cp:coreProperties>
</file>